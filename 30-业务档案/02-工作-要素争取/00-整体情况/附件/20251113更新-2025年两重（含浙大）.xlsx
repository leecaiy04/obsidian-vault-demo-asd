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320" windowHeight="12165"/>
  </bookViews>
  <sheets>
    <sheet name="浙江大学2025年两重梳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<sst xmlns="http://schemas.openxmlformats.org/spreadsheetml/2006/main" count="42" uniqueCount="42">
  <si>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如有支付进度更新，直接修改本列数字，支付率相关列会自动更新</t>
  </si>
  <si>
    <r>
      <rPr>
        <b/>
        <sz val="12"/>
        <color rgb="FF000000"/>
        <rFont val="宋体"/>
        <charset val="134"/>
      </rPr>
      <t>序号</t>
    </r>
  </si>
  <si>
    <r>
      <rPr>
        <b/>
        <sz val="12"/>
        <color rgb="FF000000"/>
        <rFont val="宋体"/>
        <charset val="134"/>
      </rPr>
      <t>下达批次</t>
    </r>
  </si>
  <si>
    <r>
      <rPr>
        <b/>
        <sz val="12"/>
        <color rgb="FF000000"/>
        <rFont val="宋体"/>
        <charset val="134"/>
      </rPr>
      <t>下达资金额度</t>
    </r>
  </si>
  <si>
    <r>
      <rPr>
        <b/>
        <sz val="12"/>
        <color rgb="FF000000"/>
        <rFont val="宋体"/>
        <charset val="134"/>
      </rPr>
      <t>项目名称</t>
    </r>
  </si>
  <si>
    <r>
      <rPr>
        <b/>
        <sz val="12"/>
        <color rgb="FF171A1D"/>
        <rFont val="宋体"/>
        <charset val="134"/>
      </rPr>
      <t>总投资</t>
    </r>
  </si>
  <si>
    <r>
      <rPr>
        <b/>
        <sz val="12"/>
        <color rgb="FF171A1D"/>
        <rFont val="Times New Roman"/>
        <charset val="134"/>
      </rPr>
      <t>2025</t>
    </r>
    <r>
      <rPr>
        <b/>
        <sz val="12"/>
        <color rgb="FF171A1D"/>
        <rFont val="宋体"/>
        <charset val="134"/>
      </rPr>
      <t>年国债资金金额</t>
    </r>
  </si>
  <si>
    <t>单个项目执行进度</t>
  </si>
  <si>
    <t>单个项目执行率</t>
  </si>
  <si>
    <t>本批次总执行率</t>
  </si>
  <si>
    <t>对照K列要求，年底前是否可完成（是/否）</t>
  </si>
  <si>
    <t>备注：各批次执行率要求</t>
  </si>
  <si>
    <r>
      <rPr>
        <sz val="12"/>
        <color rgb="FF000000"/>
        <rFont val="宋体"/>
        <charset val="134"/>
      </rPr>
      <t>浙江大学项目</t>
    </r>
    <r>
      <rPr>
        <sz val="12"/>
        <color rgb="FF000000"/>
        <rFont val="Times New Roman"/>
        <charset val="134"/>
      </rPr>
      <t>-1</t>
    </r>
  </si>
  <si>
    <r>
      <rPr>
        <sz val="12"/>
        <color rgb="FF000000"/>
        <rFont val="Times New Roman"/>
        <charset val="134"/>
      </rPr>
      <t>2025</t>
    </r>
    <r>
      <rPr>
        <sz val="12"/>
        <color rgb="FF000000"/>
        <rFont val="宋体"/>
        <charset val="134"/>
      </rPr>
      <t>年提前批</t>
    </r>
  </si>
  <si>
    <r>
      <rPr>
        <sz val="12"/>
        <color rgb="FF000000"/>
        <rFont val="宋体"/>
        <charset val="134"/>
      </rPr>
      <t>浙江大学紫金港校区西区综合训练馆</t>
    </r>
  </si>
  <si>
    <r>
      <rPr>
        <sz val="12"/>
        <color rgb="FF171A1D"/>
        <rFont val="Times New Roman"/>
        <charset val="134"/>
      </rPr>
      <t>11</t>
    </r>
    <r>
      <rPr>
        <sz val="12"/>
        <color rgb="FF171A1D"/>
        <rFont val="宋体"/>
        <charset val="134"/>
      </rPr>
      <t>月</t>
    </r>
    <r>
      <rPr>
        <sz val="12"/>
        <color rgb="FF171A1D"/>
        <rFont val="Times New Roman"/>
        <charset val="134"/>
      </rPr>
      <t>40%</t>
    </r>
    <r>
      <rPr>
        <sz val="12"/>
        <color rgb="FF171A1D"/>
        <rFont val="宋体"/>
        <charset val="134"/>
      </rPr>
      <t>，</t>
    </r>
    <r>
      <rPr>
        <sz val="12"/>
        <color rgb="FF171A1D"/>
        <rFont val="Times New Roman"/>
        <charset val="134"/>
      </rPr>
      <t>12</t>
    </r>
    <r>
      <rPr>
        <sz val="12"/>
        <color rgb="FF171A1D"/>
        <rFont val="宋体"/>
        <charset val="134"/>
      </rPr>
      <t>月</t>
    </r>
    <r>
      <rPr>
        <sz val="12"/>
        <color rgb="FF171A1D"/>
        <rFont val="Times New Roman"/>
        <charset val="134"/>
      </rPr>
      <t>45%</t>
    </r>
  </si>
  <si>
    <r>
      <rPr>
        <sz val="12"/>
        <color rgb="FF000000"/>
        <rFont val="宋体"/>
        <charset val="134"/>
      </rPr>
      <t>浙江大学项目</t>
    </r>
    <r>
      <rPr>
        <sz val="12"/>
        <color rgb="FF000000"/>
        <rFont val="Times New Roman"/>
        <charset val="134"/>
      </rPr>
      <t>-2</t>
    </r>
  </si>
  <si>
    <r>
      <rPr>
        <sz val="12"/>
        <color rgb="FF000000"/>
        <rFont val="Times New Roman"/>
        <charset val="134"/>
      </rPr>
      <t>2025</t>
    </r>
    <r>
      <rPr>
        <sz val="12"/>
        <color rgb="FF000000"/>
        <rFont val="宋体"/>
        <charset val="134"/>
      </rPr>
      <t>年第</t>
    </r>
    <r>
      <rPr>
        <sz val="12"/>
        <color rgb="FF000000"/>
        <rFont val="Times New Roman"/>
        <charset val="134"/>
      </rPr>
      <t>1</t>
    </r>
    <r>
      <rPr>
        <sz val="12"/>
        <color rgb="FF000000"/>
        <rFont val="宋体"/>
        <charset val="134"/>
      </rPr>
      <t>批</t>
    </r>
  </si>
  <si>
    <t>浙江大学紫金港校区重大前沿研究大楼项目</t>
  </si>
  <si>
    <r>
      <rPr>
        <sz val="12"/>
        <color rgb="FF171A1D"/>
        <rFont val="Times New Roman"/>
        <charset val="134"/>
      </rPr>
      <t>11</t>
    </r>
    <r>
      <rPr>
        <sz val="12"/>
        <color rgb="FF171A1D"/>
        <rFont val="宋体"/>
        <charset val="134"/>
      </rPr>
      <t>月</t>
    </r>
    <r>
      <rPr>
        <sz val="12"/>
        <color rgb="FF171A1D"/>
        <rFont val="Times New Roman"/>
        <charset val="134"/>
      </rPr>
      <t>65%</t>
    </r>
    <r>
      <rPr>
        <sz val="12"/>
        <color rgb="FF171A1D"/>
        <rFont val="宋体"/>
        <charset val="134"/>
      </rPr>
      <t>，</t>
    </r>
    <r>
      <rPr>
        <sz val="12"/>
        <color rgb="FF171A1D"/>
        <rFont val="Times New Roman"/>
        <charset val="134"/>
      </rPr>
      <t>12</t>
    </r>
    <r>
      <rPr>
        <sz val="12"/>
        <color rgb="FF171A1D"/>
        <rFont val="宋体"/>
        <charset val="134"/>
      </rPr>
      <t>月</t>
    </r>
    <r>
      <rPr>
        <sz val="12"/>
        <color rgb="FF171A1D"/>
        <rFont val="Times New Roman"/>
        <charset val="134"/>
      </rPr>
      <t>70%</t>
    </r>
  </si>
  <si>
    <t>浙江大学紫金港校区理工创新研究大楼项目</t>
  </si>
  <si>
    <t>浙大农业天敌生物资源库项目</t>
  </si>
  <si>
    <t>浙江大学国家人工智能产教融合创新平台</t>
  </si>
  <si>
    <r>
      <rPr>
        <sz val="12"/>
        <color rgb="FF000000"/>
        <rFont val="宋体"/>
        <charset val="134"/>
      </rPr>
      <t>浙江大学项目</t>
    </r>
    <r>
      <rPr>
        <sz val="12"/>
        <color rgb="FF000000"/>
        <rFont val="Times New Roman"/>
        <charset val="134"/>
      </rPr>
      <t>-3</t>
    </r>
  </si>
  <si>
    <r>
      <rPr>
        <sz val="12"/>
        <color rgb="FF000000"/>
        <rFont val="Times New Roman"/>
        <charset val="134"/>
      </rPr>
      <t>2025</t>
    </r>
    <r>
      <rPr>
        <sz val="12"/>
        <color rgb="FF000000"/>
        <rFont val="宋体"/>
        <charset val="134"/>
      </rPr>
      <t>年第</t>
    </r>
    <r>
      <rPr>
        <sz val="12"/>
        <color rgb="FF000000"/>
        <rFont val="Times New Roman"/>
        <charset val="134"/>
      </rPr>
      <t>2</t>
    </r>
    <r>
      <rPr>
        <sz val="12"/>
        <color rgb="FF000000"/>
        <rFont val="宋体"/>
        <charset val="134"/>
      </rPr>
      <t>批</t>
    </r>
  </si>
  <si>
    <t>浙江大学学科交叉创新大楼</t>
  </si>
  <si>
    <r>
      <rPr>
        <sz val="12"/>
        <color rgb="FF171A1D"/>
        <rFont val="Times New Roman"/>
        <charset val="134"/>
      </rPr>
      <t>11</t>
    </r>
    <r>
      <rPr>
        <sz val="12"/>
        <color rgb="FF171A1D"/>
        <rFont val="宋体"/>
        <charset val="134"/>
      </rPr>
      <t>月</t>
    </r>
    <r>
      <rPr>
        <sz val="12"/>
        <color rgb="FF171A1D"/>
        <rFont val="Times New Roman"/>
        <charset val="134"/>
      </rPr>
      <t>35%</t>
    </r>
    <r>
      <rPr>
        <sz val="12"/>
        <color rgb="FF171A1D"/>
        <rFont val="宋体"/>
        <charset val="134"/>
      </rPr>
      <t>，</t>
    </r>
    <r>
      <rPr>
        <sz val="12"/>
        <color rgb="FF171A1D"/>
        <rFont val="Times New Roman"/>
        <charset val="134"/>
      </rPr>
      <t>12</t>
    </r>
    <r>
      <rPr>
        <sz val="12"/>
        <color rgb="FF171A1D"/>
        <rFont val="宋体"/>
        <charset val="134"/>
      </rPr>
      <t>月</t>
    </r>
    <r>
      <rPr>
        <sz val="12"/>
        <color rgb="FF171A1D"/>
        <rFont val="Times New Roman"/>
        <charset val="134"/>
      </rPr>
      <t>40%</t>
    </r>
  </si>
  <si>
    <t>浙江大学基础交叉研究大楼</t>
  </si>
  <si>
    <t>浙江大学基础交叉仪器创新支撑中心</t>
  </si>
  <si>
    <r>
      <rPr>
        <sz val="12"/>
        <color rgb="FF000000"/>
        <rFont val="宋体"/>
        <charset val="134"/>
      </rPr>
      <t>浙江大学项目</t>
    </r>
    <r>
      <rPr>
        <sz val="12"/>
        <color rgb="FF000000"/>
        <rFont val="Times New Roman"/>
        <charset val="134"/>
      </rPr>
      <t>-4</t>
    </r>
  </si>
  <si>
    <r>
      <rPr>
        <sz val="12"/>
        <color rgb="FF000000"/>
        <rFont val="Times New Roman"/>
        <charset val="134"/>
      </rPr>
      <t>2025</t>
    </r>
    <r>
      <rPr>
        <sz val="12"/>
        <color rgb="FF000000"/>
        <rFont val="宋体"/>
        <charset val="134"/>
      </rPr>
      <t>年第</t>
    </r>
    <r>
      <rPr>
        <sz val="12"/>
        <color rgb="FF000000"/>
        <rFont val="Times New Roman"/>
        <charset val="134"/>
      </rPr>
      <t>3</t>
    </r>
    <r>
      <rPr>
        <sz val="12"/>
        <color rgb="FF000000"/>
        <rFont val="宋体"/>
        <charset val="134"/>
      </rPr>
      <t>批</t>
    </r>
  </si>
  <si>
    <r>
      <rPr>
        <sz val="12"/>
        <color rgb="FF000000"/>
        <rFont val="宋体"/>
        <charset val="134"/>
      </rPr>
      <t>浙江大学工信创新研究大楼项目</t>
    </r>
  </si>
  <si>
    <r>
      <rPr>
        <sz val="12"/>
        <color rgb="FF000000"/>
        <rFont val="Times New Roman"/>
        <charset val="134"/>
      </rPr>
      <t>11</t>
    </r>
    <r>
      <rPr>
        <sz val="12"/>
        <color rgb="FF000000"/>
        <rFont val="宋体"/>
        <charset val="134"/>
      </rPr>
      <t>月</t>
    </r>
    <r>
      <rPr>
        <sz val="12"/>
        <color rgb="FF000000"/>
        <rFont val="Times New Roman"/>
        <charset val="134"/>
      </rPr>
      <t>25%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Times New Roman"/>
        <charset val="134"/>
      </rPr>
      <t>12</t>
    </r>
    <r>
      <rPr>
        <sz val="12"/>
        <color rgb="FF000000"/>
        <rFont val="宋体"/>
        <charset val="134"/>
      </rPr>
      <t>月</t>
    </r>
    <r>
      <rPr>
        <sz val="12"/>
        <color rgb="FF000000"/>
        <rFont val="Times New Roman"/>
        <charset val="134"/>
      </rPr>
      <t>30%</t>
    </r>
  </si>
  <si>
    <t>合计</t>
  </si>
  <si>
    <t>双桥高中</t>
  </si>
  <si>
    <t>双桥排涝</t>
  </si>
  <si>
    <t>铖昌</t>
  </si>
  <si>
    <t>西湖大学生物安全实验室</t>
  </si>
  <si>
    <t>西湖大学遗传物质实验室</t>
  </si>
  <si>
    <t>中国美院</t>
  </si>
  <si>
    <t>全部</t>
  </si>
  <si>
    <t>区级项目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</si>
</sst>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%"/>
  </numFmts>
  <fonts count="33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Noto Serif CJK SC"/>
      <charset val="134"/>
    </font>
    <font>
      <sz val="11"/>
      <color rgb="FFFF0000"/>
      <name val="宋体"/>
      <charset val="134"/>
    </font>
    <font>
      <b/>
      <sz val="12"/>
      <color rgb="FF171A1D"/>
      <name val="Times New Roman"/>
      <charset val="134"/>
    </font>
    <font>
      <b/>
      <sz val="12"/>
      <color rgb="FF171A1D"/>
      <name val="宋体"/>
      <charset val="134"/>
    </font>
    <font>
      <sz val="12"/>
      <color rgb="FFFF0000"/>
      <name val="Times New Roman"/>
      <charset val="134"/>
    </font>
    <font>
      <sz val="12"/>
      <color rgb="FF171A1D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171A1D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19" applyNumberFormat="0" applyAlignment="0" applyProtection="0">
      <alignment vertical="center"/>
    </xf>
    <xf numFmtId="0" fontId="22" fillId="5" borderId="20" applyNumberFormat="0" applyAlignment="0" applyProtection="0">
      <alignment vertical="center"/>
    </xf>
    <xf numFmtId="0" fontId="23" fillId="5" borderId="19" applyNumberFormat="0" applyAlignment="0" applyProtection="0">
      <alignment vertical="center"/>
    </xf>
    <xf numFmtId="0" fontId="24" fillId="6" borderId="21" applyNumberFormat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2" fillId="0" borderId="4" xfId="0" applyFont="1" applyBorder="1">
      <alignment vertical="center"/>
    </xf>
    <xf numFmtId="0" fontId="7" fillId="0" borderId="4" xfId="0" applyFont="1" applyBorder="1">
      <alignment vertical="center"/>
    </xf>
    <xf numFmtId="176" fontId="8" fillId="0" borderId="0" xfId="0" applyNumberFormat="1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76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76" fontId="11" fillId="0" borderId="4" xfId="0" applyNumberFormat="1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7" fontId="4" fillId="2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9" fontId="12" fillId="0" borderId="12" xfId="0" applyNumberFormat="1" applyFont="1" applyBorder="1" applyAlignment="1">
      <alignment horizontal="center" vertical="center" wrapText="1"/>
    </xf>
    <xf numFmtId="177" fontId="4" fillId="0" borderId="6" xfId="0" applyNumberFormat="1" applyFont="1" applyBorder="1" applyAlignment="1">
      <alignment horizontal="center" vertical="center"/>
    </xf>
    <xf numFmtId="9" fontId="12" fillId="0" borderId="13" xfId="0" applyNumberFormat="1" applyFont="1" applyBorder="1" applyAlignment="1">
      <alignment horizontal="center" vertical="center" wrapText="1"/>
    </xf>
    <xf numFmtId="177" fontId="4" fillId="0" borderId="8" xfId="0" applyNumberFormat="1" applyFont="1" applyBorder="1" applyAlignment="1">
      <alignment horizontal="center" vertical="center"/>
    </xf>
    <xf numFmtId="9" fontId="12" fillId="0" borderId="14" xfId="0" applyNumberFormat="1" applyFont="1" applyBorder="1" applyAlignment="1">
      <alignment horizontal="center" vertical="center" wrapText="1"/>
    </xf>
    <xf numFmtId="177" fontId="4" fillId="0" borderId="10" xfId="0" applyNumberFormat="1" applyFont="1" applyBorder="1" applyAlignment="1">
      <alignment horizontal="center" vertical="center"/>
    </xf>
    <xf numFmtId="9" fontId="12" fillId="0" borderId="15" xfId="0" applyNumberFormat="1" applyFont="1" applyBorder="1" applyAlignment="1">
      <alignment horizontal="center" vertical="center" wrapText="1"/>
    </xf>
    <xf numFmtId="9" fontId="4" fillId="0" borderId="12" xfId="3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zoomScale="90" zoomScaleNormal="90" workbookViewId="0">
      <selection activeCell="N7" sqref="N7"/>
    </sheetView>
  </sheetViews>
  <sheetFormatPr defaultColWidth="9" defaultRowHeight="14.25"/>
  <cols>
    <col min="1" max="1" width="15.75" style="2" customWidth="1"/>
    <col min="2" max="2" width="13.875" style="2" customWidth="1"/>
    <col min="3" max="3" width="10" style="2" customWidth="1"/>
    <col min="4" max="4" width="39.75" style="2" customWidth="1"/>
    <col min="5" max="5" width="9" style="2"/>
    <col min="6" max="6" width="12.875" style="2" customWidth="1"/>
    <col min="7" max="7" width="21.8083333333333" style="3" customWidth="1"/>
    <col min="8" max="8" width="13.5" style="4" customWidth="1"/>
    <col min="9" max="9" width="11.5" style="2" customWidth="1"/>
    <col min="10" max="10" width="13.125" style="2" customWidth="1"/>
    <col min="11" max="11" width="14.375" style="2" customWidth="1"/>
    <col min="12" max="16384" width="9" style="2"/>
  </cols>
  <sheetData>
    <row r="1" ht="75" customHeight="1" spans="7:7">
      <c r="G1" s="23" t="s">
        <v>0</v>
      </c>
    </row>
    <row r="2" s="1" customFormat="1" ht="78" spans="1:11">
      <c r="A2" s="5" t="s">
        <v>1</v>
      </c>
      <c r="B2" s="6" t="s">
        <v>2</v>
      </c>
      <c r="C2" s="6" t="s">
        <v>3</v>
      </c>
      <c r="D2" s="6" t="s">
        <v>4</v>
      </c>
      <c r="E2" s="24" t="s">
        <v>5</v>
      </c>
      <c r="F2" s="24" t="s">
        <v>6</v>
      </c>
      <c r="G2" s="25" t="s">
        <v>7</v>
      </c>
      <c r="H2" s="26" t="s">
        <v>8</v>
      </c>
      <c r="I2" s="26" t="s">
        <v>9</v>
      </c>
      <c r="J2" s="26" t="s">
        <v>10</v>
      </c>
      <c r="K2" s="36" t="s">
        <v>11</v>
      </c>
    </row>
    <row r="3" ht="36" customHeight="1" spans="1:11">
      <c r="A3" s="7" t="s">
        <v>12</v>
      </c>
      <c r="B3" s="8" t="s">
        <v>13</v>
      </c>
      <c r="C3" s="8">
        <v>15000</v>
      </c>
      <c r="D3" s="8" t="s">
        <v>14</v>
      </c>
      <c r="E3" s="8">
        <v>54996</v>
      </c>
      <c r="F3" s="8">
        <v>15000</v>
      </c>
      <c r="G3" s="27">
        <v>1635.5681</v>
      </c>
      <c r="H3" s="28">
        <f>G3/F3</f>
        <v>0.109037873333333</v>
      </c>
      <c r="I3" s="28">
        <f>G3/F3</f>
        <v>0.109037873333333</v>
      </c>
      <c r="J3" s="8"/>
      <c r="K3" s="37" t="s">
        <v>15</v>
      </c>
    </row>
    <row r="4" ht="19.5" spans="1:11">
      <c r="A4" s="9" t="s">
        <v>16</v>
      </c>
      <c r="B4" s="10" t="s">
        <v>17</v>
      </c>
      <c r="C4" s="10">
        <v>25000</v>
      </c>
      <c r="D4" s="11" t="s">
        <v>18</v>
      </c>
      <c r="E4" s="8">
        <v>23504</v>
      </c>
      <c r="F4" s="8">
        <v>8500</v>
      </c>
      <c r="G4" s="29">
        <v>4198.9031</v>
      </c>
      <c r="H4" s="28">
        <f>G4/F4</f>
        <v>0.4939886</v>
      </c>
      <c r="I4" s="38">
        <f>(G4+G5+G6+G7)/C4</f>
        <v>0.2928597316</v>
      </c>
      <c r="J4" s="10"/>
      <c r="K4" s="39" t="s">
        <v>19</v>
      </c>
    </row>
    <row r="5" ht="19.5" spans="1:11">
      <c r="A5" s="12"/>
      <c r="B5" s="13"/>
      <c r="C5" s="13"/>
      <c r="D5" s="11" t="s">
        <v>20</v>
      </c>
      <c r="E5" s="8">
        <v>24319</v>
      </c>
      <c r="F5" s="8">
        <v>7000</v>
      </c>
      <c r="G5" s="29">
        <v>3122.59019</v>
      </c>
      <c r="H5" s="28">
        <f>G5/F5</f>
        <v>0.446084312857143</v>
      </c>
      <c r="I5" s="40"/>
      <c r="J5" s="13"/>
      <c r="K5" s="41"/>
    </row>
    <row r="6" ht="19.5" spans="1:11">
      <c r="A6" s="12"/>
      <c r="B6" s="13"/>
      <c r="C6" s="13"/>
      <c r="D6" s="11" t="s">
        <v>21</v>
      </c>
      <c r="E6" s="8">
        <v>17400</v>
      </c>
      <c r="F6" s="8">
        <v>7500</v>
      </c>
      <c r="G6" s="29">
        <v>0</v>
      </c>
      <c r="H6" s="28">
        <f>G6/F6</f>
        <v>0</v>
      </c>
      <c r="I6" s="40"/>
      <c r="J6" s="13"/>
      <c r="K6" s="41"/>
    </row>
    <row r="7" ht="19.5" spans="1:11">
      <c r="A7" s="14"/>
      <c r="B7" s="13"/>
      <c r="C7" s="13"/>
      <c r="D7" s="15" t="s">
        <v>22</v>
      </c>
      <c r="E7" s="30">
        <v>34906</v>
      </c>
      <c r="F7" s="30">
        <v>2000</v>
      </c>
      <c r="G7" s="29">
        <v>0</v>
      </c>
      <c r="H7" s="28">
        <f>G7/F7</f>
        <v>0</v>
      </c>
      <c r="I7" s="42"/>
      <c r="J7" s="16"/>
      <c r="K7" s="43"/>
    </row>
    <row r="8" ht="28" customHeight="1" spans="1:11">
      <c r="A8" s="9" t="s">
        <v>23</v>
      </c>
      <c r="B8" s="10" t="s">
        <v>24</v>
      </c>
      <c r="C8" s="10">
        <v>23000</v>
      </c>
      <c r="D8" s="11" t="s">
        <v>25</v>
      </c>
      <c r="E8" s="8">
        <v>16495</v>
      </c>
      <c r="F8" s="8">
        <v>7000</v>
      </c>
      <c r="G8" s="31">
        <v>1744.1251</v>
      </c>
      <c r="H8" s="28">
        <f>G8/F4</f>
        <v>0.205191188235294</v>
      </c>
      <c r="I8" s="38">
        <f>(G8+G9+G10)/C8</f>
        <v>0.20121788826087</v>
      </c>
      <c r="J8" s="10"/>
      <c r="K8" s="39" t="s">
        <v>26</v>
      </c>
    </row>
    <row r="9" ht="28" customHeight="1" spans="1:11">
      <c r="A9" s="12"/>
      <c r="B9" s="13"/>
      <c r="C9" s="13"/>
      <c r="D9" s="11" t="s">
        <v>27</v>
      </c>
      <c r="E9" s="8">
        <v>53966</v>
      </c>
      <c r="F9" s="8">
        <v>7000</v>
      </c>
      <c r="G9" s="27">
        <v>370.05133</v>
      </c>
      <c r="H9" s="28">
        <f>G9/F5</f>
        <v>0.0528644757142857</v>
      </c>
      <c r="I9" s="40"/>
      <c r="J9" s="13"/>
      <c r="K9" s="41"/>
    </row>
    <row r="10" ht="28" customHeight="1" spans="1:11">
      <c r="A10" s="14"/>
      <c r="B10" s="16"/>
      <c r="C10" s="16"/>
      <c r="D10" s="11" t="s">
        <v>28</v>
      </c>
      <c r="E10" s="8">
        <v>19723</v>
      </c>
      <c r="F10" s="8">
        <v>9000</v>
      </c>
      <c r="G10" s="27">
        <v>2513.835</v>
      </c>
      <c r="H10" s="28">
        <f>G10/F6</f>
        <v>0.335178</v>
      </c>
      <c r="I10" s="42"/>
      <c r="J10" s="16"/>
      <c r="K10" s="43"/>
    </row>
    <row r="11" ht="37" customHeight="1" spans="1:11">
      <c r="A11" s="7" t="s">
        <v>29</v>
      </c>
      <c r="B11" s="8" t="s">
        <v>30</v>
      </c>
      <c r="C11" s="8">
        <v>11000</v>
      </c>
      <c r="D11" s="8" t="s">
        <v>31</v>
      </c>
      <c r="E11" s="8">
        <v>69485</v>
      </c>
      <c r="F11" s="8">
        <v>11000</v>
      </c>
      <c r="G11" s="27">
        <v>6806.58049</v>
      </c>
      <c r="H11" s="28">
        <f t="shared" ref="H11:H17" si="0">G11/F11</f>
        <v>0.618780044545455</v>
      </c>
      <c r="I11" s="28">
        <f>G11/F11</f>
        <v>0.618780044545455</v>
      </c>
      <c r="J11" s="8"/>
      <c r="K11" s="44" t="s">
        <v>32</v>
      </c>
    </row>
    <row r="12" s="1" customFormat="1" ht="24" customHeight="1" spans="1:11">
      <c r="A12" s="17"/>
      <c r="B12" s="18" t="s">
        <v>33</v>
      </c>
      <c r="C12" s="19">
        <v>74000</v>
      </c>
      <c r="D12" s="20"/>
      <c r="E12" s="19"/>
      <c r="F12" s="19"/>
      <c r="G12" s="32"/>
      <c r="H12" s="19"/>
      <c r="I12" s="19"/>
      <c r="J12" s="19"/>
      <c r="K12" s="45"/>
    </row>
    <row r="13" ht="18" spans="1:11">
      <c r="A13" s="21"/>
      <c r="B13" s="21"/>
      <c r="C13" s="21"/>
      <c r="D13" s="22" t="s">
        <v>34</v>
      </c>
      <c r="E13" s="21"/>
      <c r="F13" s="21">
        <v>8400</v>
      </c>
      <c r="G13" s="33">
        <v>8400</v>
      </c>
      <c r="H13" s="28">
        <f t="shared" si="0"/>
        <v>1</v>
      </c>
      <c r="I13" s="21"/>
      <c r="J13" s="21"/>
      <c r="K13" s="21"/>
    </row>
    <row r="14" ht="18" spans="1:11">
      <c r="A14" s="21"/>
      <c r="B14" s="21"/>
      <c r="C14" s="21"/>
      <c r="D14" s="22" t="s">
        <v>35</v>
      </c>
      <c r="E14" s="21"/>
      <c r="F14" s="21">
        <v>4000</v>
      </c>
      <c r="G14" s="33">
        <v>1606</v>
      </c>
      <c r="H14" s="28">
        <f t="shared" si="0"/>
        <v>0.4015</v>
      </c>
      <c r="I14" s="21"/>
      <c r="J14" s="21"/>
      <c r="K14" s="21"/>
    </row>
    <row r="15" ht="18" spans="1:11">
      <c r="A15" s="21"/>
      <c r="B15" s="21"/>
      <c r="C15" s="21"/>
      <c r="D15" s="22" t="s">
        <v>36</v>
      </c>
      <c r="E15" s="21"/>
      <c r="F15" s="21">
        <v>1560</v>
      </c>
      <c r="G15" s="33">
        <v>1560</v>
      </c>
      <c r="H15" s="28">
        <f t="shared" si="0"/>
        <v>1</v>
      </c>
      <c r="I15" s="21"/>
      <c r="J15" s="21"/>
      <c r="K15" s="21"/>
    </row>
    <row r="16" ht="18" spans="1:11">
      <c r="A16" s="21"/>
      <c r="B16" s="21"/>
      <c r="C16" s="21"/>
      <c r="D16" s="22" t="s">
        <v>37</v>
      </c>
      <c r="E16" s="21"/>
      <c r="F16" s="21">
        <v>2505</v>
      </c>
      <c r="G16" s="33">
        <v>825</v>
      </c>
      <c r="H16" s="28">
        <f t="shared" si="0"/>
        <v>0.329341317365269</v>
      </c>
      <c r="I16" s="21"/>
      <c r="J16" s="21"/>
      <c r="K16" s="21"/>
    </row>
    <row r="17" ht="18" spans="1:11">
      <c r="A17" s="21"/>
      <c r="B17" s="21"/>
      <c r="C17" s="21"/>
      <c r="D17" s="22" t="s">
        <v>38</v>
      </c>
      <c r="E17" s="21"/>
      <c r="F17" s="21">
        <v>6735</v>
      </c>
      <c r="G17" s="33">
        <v>1809</v>
      </c>
      <c r="H17" s="28">
        <f t="shared" si="0"/>
        <v>0.268596881959911</v>
      </c>
      <c r="I17" s="21"/>
      <c r="J17" s="21"/>
      <c r="K17" s="21"/>
    </row>
    <row r="18" ht="18" spans="1:11">
      <c r="A18" s="21"/>
      <c r="B18" s="21"/>
      <c r="C18" s="21"/>
      <c r="D18" s="22" t="s">
        <v>39</v>
      </c>
      <c r="E18" s="21"/>
      <c r="F18" s="21">
        <v>10000</v>
      </c>
      <c r="G18" s="33">
        <v>6684</v>
      </c>
      <c r="H18" s="28">
        <f t="shared" ref="H18:H20" si="1">G18/F18</f>
        <v>0.6684</v>
      </c>
      <c r="I18" s="21"/>
      <c r="J18" s="21"/>
      <c r="K18" s="21"/>
    </row>
    <row r="19" ht="18" spans="1:11">
      <c r="A19" s="21"/>
      <c r="B19" s="21"/>
      <c r="C19" s="21"/>
      <c r="D19" s="21"/>
      <c r="E19" s="22" t="s">
        <v>40</v>
      </c>
      <c r="F19" s="21">
        <f>SUM(F3:F18)</f>
        <v>107200</v>
      </c>
      <c r="G19" s="33">
        <f>SUM(G3:G18)</f>
        <v>41275.65331</v>
      </c>
      <c r="H19" s="34">
        <f t="shared" si="1"/>
        <v>0.385034079384328</v>
      </c>
      <c r="I19" s="21"/>
      <c r="J19" s="21"/>
      <c r="K19" s="21"/>
    </row>
    <row r="20" ht="18" spans="1:11">
      <c r="A20" s="21"/>
      <c r="B20" s="21"/>
      <c r="C20" s="21"/>
      <c r="D20" s="21"/>
      <c r="E20" s="22" t="s">
        <v>41</v>
      </c>
      <c r="F20" s="21">
        <f>SUM(F14:F17)</f>
        <v>14800</v>
      </c>
      <c r="G20" s="35">
        <f>SUM(G14:G17)</f>
        <v>5800</v>
      </c>
      <c r="H20" s="28">
        <f t="shared" si="1"/>
        <v>0.391891891891892</v>
      </c>
      <c r="I20" s="21"/>
      <c r="J20" s="21"/>
      <c r="K20" s="21"/>
    </row>
  </sheetData>
  <mergeCells count="12">
    <mergeCell ref="A4:A7"/>
    <mergeCell ref="A8:A10"/>
    <mergeCell ref="B4:B7"/>
    <mergeCell ref="B8:B10"/>
    <mergeCell ref="C4:C7"/>
    <mergeCell ref="C8:C10"/>
    <mergeCell ref="I4:I7"/>
    <mergeCell ref="I8:I10"/>
    <mergeCell ref="J4:J7"/>
    <mergeCell ref="J8:J10"/>
    <mergeCell ref="K4:K7"/>
    <mergeCell ref="K8:K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浙江大学2025年两重梳理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</dc:creator>
  <cp:lastModifiedBy>李秀明小号</cp:lastModifiedBy>
  <dcterms:created xsi:type="dcterms:W3CDTF">2025-11-07T22:52:00Z</dcterms:created>
  <dcterms:modified xsi:type="dcterms:W3CDTF">2025-11-21T09:58:30Z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8A295306D59EB52324970D696FA7367E_41</vt:lpwstr>
  </property>
  <property fmtid="{D5CDD505-2E9C-101B-9397-08002B2CF9AE}" pid="3" name="KSOProductBuildVer">
    <vt:lpwstr>2052-12.1.2.22550</vt:lpwstr>
  </property>
</Properties>
</file>